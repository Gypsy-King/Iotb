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635E4AA-2A6D-4272-8472-B1670A2A7AAA}" xr6:coauthVersionLast="43" xr6:coauthVersionMax="43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Report Card" sheetId="3" r:id="rId2"/>
  </sheets>
  <definedNames>
    <definedName name="_xlnm._FilterDatabase" localSheetId="0" hidden="1">Sheet1!$A$1:$J$31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" i="3" l="1"/>
  <c r="C7" i="3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E23" i="3" l="1"/>
  <c r="E24" i="3" s="1"/>
  <c r="E25" i="3" s="1"/>
  <c r="E26" i="3" s="1"/>
  <c r="F20" i="3"/>
  <c r="G13" i="3"/>
</calcChain>
</file>

<file path=xl/sharedStrings.xml><?xml version="1.0" encoding="utf-8"?>
<sst xmlns="http://schemas.openxmlformats.org/spreadsheetml/2006/main" count="123" uniqueCount="96">
  <si>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</si>
  <si>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</si>
  <si>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</si>
  <si>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</si>
  <si>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</si>
  <si>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</si>
  <si>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</si>
  <si>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</si>
  <si>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</si>
  <si>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</si>
  <si>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</si>
  <si>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</si>
  <si>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</si>
  <si>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</si>
  <si>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</si>
  <si>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</si>
  <si>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</si>
  <si>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</si>
  <si>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</si>
  <si>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</si>
  <si>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</si>
  <si>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</si>
  <si>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</si>
  <si>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</si>
  <si>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</si>
  <si>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</si>
  <si>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</si>
  <si>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</si>
  <si>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</si>
  <si>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</si>
  <si>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</si>
  <si>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</si>
  <si>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</si>
  <si>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</si>
  <si>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</si>
  <si>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</si>
  <si>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</si>
  <si>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</si>
  <si>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</si>
  <si>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</si>
  <si>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</si>
  <si>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</si>
  <si>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</si>
  <si>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</si>
  <si>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</si>
  <si>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</si>
  <si>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</si>
  <si>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</si>
  <si>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</si>
  <si>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</si>
  <si>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</si>
  <si>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</si>
  <si>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</si>
  <si>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</si>
  <si>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</si>
  <si>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</si>
  <si>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</si>
  <si>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</si>
  <si>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</si>
  <si>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</si>
  <si>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</si>
  <si>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</si>
  <si>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</si>
  <si>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</si>
  <si>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</si>
  <si>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</si>
  <si>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</si>
  <si>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</si>
  <si>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</si>
  <si>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</si>
  <si>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</si>
  <si>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</si>
  <si>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</si>
  <si>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</si>
  <si>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</si>
  <si>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</si>
  <si>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</si>
  <si>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</si>
  <si>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</si>
  <si>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</si>
  <si>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</si>
  <si>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>Total</t>
  </si>
  <si>
    <t>Al-Amin Global School</t>
  </si>
  <si>
    <t>Session Report Card</t>
  </si>
  <si>
    <t>Student Id</t>
  </si>
  <si>
    <t>Name</t>
  </si>
  <si>
    <t>Department</t>
  </si>
  <si>
    <t>S/N</t>
  </si>
  <si>
    <t>Subjects</t>
  </si>
  <si>
    <t>Score</t>
  </si>
  <si>
    <t>Grade</t>
  </si>
  <si>
    <t>Total Mark Obtainable</t>
  </si>
  <si>
    <t>Total Mark Obtained</t>
  </si>
  <si>
    <t>Percentage</t>
  </si>
  <si>
    <t>Comment</t>
  </si>
  <si>
    <t>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</si>
</sst>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</font>
    <font>
      <b/>
      <sz val="18"/>
      <color rgb="FF000000"/>
      <name val="Bahnschrift Condensed"/>
      <family val="2"/>
    </font>
    <font>
      <b/>
      <u/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0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  <xf numFmtId="9" fontId="0" fillId="2" borderId="0" xfId="0" applyNumberFormat="1" applyFont="1" applyFill="1" applyAlignme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indexed="64"/>
          <bgColor theme="9" tint="-0.249977111117893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C1102-5C65-46C1-826E-5974CE86AC4C}" name="Table1" displayName="Table1" ref="D12:G20" totalsRowShown="0" headerRowDxfId="3" dataDxfId="4">
  <autoFilter ref="D12:G20" xr:uid="{DE99B944-2D05-49E9-AE4C-8B3BAE5636CA}">
    <filterColumn colId="0" hiddenButton="1"/>
    <filterColumn colId="1" hiddenButton="1"/>
    <filterColumn colId="2" hiddenButton="1"/>
    <filterColumn colId="3" hiddenButton="1"/>
  </autoFilter>
  <tableColumns count="4">
    <tableColumn id="1" xr3:uid="{E237006D-8043-4CBA-9206-C28B81DC04AF}" name="S/N" dataDxfId="6"/>
    <tableColumn id="2" xr3:uid="{4A6ABF49-4513-483A-B6D9-BE2CFB3A4EB3}" name="Subjects" dataDxfId="5"/>
    <tableColumn id="3" xr3:uid="{0730BCBC-455D-4075-9336-1E6AE44A7B11}" name="Score" dataDxfId="2">
      <calculatedColumnFormula>INDEX(Sheet1!D$2:D$31,MATCH('Report Card'!$C$5,Sheet1!$A$2:$A$31,0))</calculatedColumnFormula>
    </tableColumn>
    <tableColumn id="4" xr3:uid="{D47CFAE0-FB3C-40B4-BD05-660968A9E0CF}" name="Grade" dataDxfId="1">
      <calculatedColumnFormula>IF(Table1[[#This Row],[Score]]&lt;45,"Fail",IF(Table1[[#This Row],[Score]]&lt;=55,"Pass",IF(Table1[[#This Row],[Score]]&lt;=65,"Good",IF(Table1[[#This Row],[Score]]&lt;=80,"Very Good",IF(Table1[[#This Row],[Score]]&gt;80,"Excellent")))))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412443-5222-4C66-8825-E4A5654C8651}" name="Table3" displayName="Table3" ref="D22:E26" totalsRowShown="0">
  <autoFilter ref="D22:E26" xr:uid="{9F1D906F-3699-4D3E-81A2-80B617DCACA7}">
    <filterColumn colId="0" hiddenButton="1"/>
    <filterColumn colId="1" hiddenButton="1"/>
  </autoFilter>
  <tableColumns count="2">
    <tableColumn id="1" xr3:uid="{934CA1A3-66C6-4686-8931-CBA820D5A633}" name="Total Mark Obtainable" dataDxfId="0"/>
    <tableColumn id="2" xr3:uid="{4C33200F-FF5E-47EE-AA0F-F6124DC50237}" name="7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1"/>
  <sheetViews>
    <sheetView workbookViewId="0">
      <selection activeCell="C1" sqref="C1:C1048576"/>
    </sheetView>
  </sheetViews>
  <sheetFormatPr defaultColWidth="12.6328125" defaultRowHeight="15.75" customHeight="1"/>
  <cols>
    <col min="2" max="2" width="14.9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</row>
    <row r="3" spans="1:10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</row>
    <row r="4" spans="1:10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</row>
    <row r="5" spans="1:10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</row>
    <row r="6" spans="1:10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</row>
    <row r="7" spans="1:10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</row>
    <row r="8" spans="1:10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</row>
    <row r="9" spans="1:10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</row>
    <row r="10" spans="1:10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</row>
    <row r="11" spans="1:10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</row>
    <row r="12" spans="1:10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</row>
    <row r="13" spans="1:10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</row>
    <row r="14" spans="1:10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</row>
    <row r="15" spans="1:10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</row>
    <row r="16" spans="1:10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</row>
    <row r="17" spans="1:10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</row>
    <row r="18" spans="1:10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</row>
    <row r="19" spans="1:10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</row>
    <row r="20" spans="1:10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</row>
    <row r="21" spans="1:10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</row>
    <row r="22" spans="1:10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</row>
    <row r="23" spans="1:10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</row>
    <row r="24" spans="1:10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</row>
    <row r="25" spans="1:10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</row>
    <row r="26" spans="1:10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</row>
    <row r="27" spans="1:10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</row>
    <row r="28" spans="1:10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</row>
    <row r="29" spans="1:10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</row>
    <row r="30" spans="1:10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</row>
    <row r="31" spans="1:10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82DD-9258-4E45-AC35-40B06CA571B4}">
  <dimension ref="B2:H26"/>
  <sheetViews>
    <sheetView tabSelected="1" topLeftCell="A4" workbookViewId="0">
      <selection activeCell="C5" sqref="C5"/>
    </sheetView>
  </sheetViews>
  <sheetFormatPr defaultRowHeight="12.5"/>
  <cols>
    <col min="1" max="3" width="8.7265625" style="4"/>
    <col min="4" max="4" width="21.81640625" style="4" customWidth="1"/>
    <col min="5" max="7" width="10.36328125" style="4" customWidth="1"/>
    <col min="8" max="16384" width="8.7265625" style="4"/>
  </cols>
  <sheetData>
    <row r="2" spans="2:8" ht="22">
      <c r="H2" s="5" t="s">
        <v>82</v>
      </c>
    </row>
    <row r="3" spans="2:8" ht="18">
      <c r="G3" s="6" t="s">
        <v>83</v>
      </c>
    </row>
    <row r="5" spans="2:8">
      <c r="B5" s="7" t="s">
        <v>84</v>
      </c>
      <c r="C5" s="4" t="s">
        <v>79</v>
      </c>
    </row>
    <row r="6" spans="2:8">
      <c r="B6" s="7" t="s">
        <v>85</v>
      </c>
      <c r="C6" s="4" t="str">
        <f>VLOOKUP(C5,Sheet1!A1:J31,2,FALSE)</f>
        <v>Fatima Lawal</v>
      </c>
    </row>
    <row r="7" spans="2:8">
      <c r="B7" s="7" t="s">
        <v>86</v>
      </c>
      <c r="C7" s="4" t="str">
        <f>VLOOKUP(C5,Sheet1!A1:J31,3,FALSE)</f>
        <v>Economics</v>
      </c>
    </row>
    <row r="12" spans="2:8">
      <c r="D12" s="7" t="s">
        <v>87</v>
      </c>
      <c r="E12" s="7" t="s">
        <v>88</v>
      </c>
      <c r="F12" s="7" t="s">
        <v>89</v>
      </c>
      <c r="G12" s="7" t="s">
        <v>90</v>
      </c>
    </row>
    <row r="13" spans="2:8">
      <c r="D13" s="4">
        <v>1</v>
      </c>
      <c r="E13" s="7" t="s">
        <v>3</v>
      </c>
      <c r="F13" s="4">
        <f>INDEX(Sheet1!D$2:D$31,MATCH('Report Card'!$C$5,Sheet1!$A$2:$A$31,0))</f>
        <v>72</v>
      </c>
      <c r="G13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Very Good</v>
      </c>
    </row>
    <row r="14" spans="2:8">
      <c r="D14" s="4">
        <v>2</v>
      </c>
      <c r="E14" s="7" t="s">
        <v>4</v>
      </c>
      <c r="F14" s="4">
        <f>VLOOKUP(C5,Sheet1!A1:J31,5,FALSE)</f>
        <v>75</v>
      </c>
      <c r="G14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Very Good</v>
      </c>
    </row>
    <row r="15" spans="2:8">
      <c r="D15" s="4">
        <v>3</v>
      </c>
      <c r="E15" s="7" t="s">
        <v>5</v>
      </c>
      <c r="F15" s="4">
        <f>INDEX(Sheet1!F$2:F$31,MATCH('Report Card'!$C$5,Sheet1!$A$2:$A$31,0))</f>
        <v>70</v>
      </c>
      <c r="G15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Very Good</v>
      </c>
    </row>
    <row r="16" spans="2:8">
      <c r="D16" s="4">
        <v>4</v>
      </c>
      <c r="E16" s="7" t="s">
        <v>6</v>
      </c>
      <c r="F16" s="4">
        <f>VLOOKUP(C5,Sheet1!A1:J31,7,FALSE)</f>
        <v>68</v>
      </c>
      <c r="G16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Very Good</v>
      </c>
    </row>
    <row r="17" spans="4:7">
      <c r="D17" s="4">
        <v>5</v>
      </c>
      <c r="E17" s="7" t="s">
        <v>7</v>
      </c>
      <c r="F17" s="4">
        <f>INDEX(Sheet1!H$2:H$31,MATCH('Report Card'!$C$5,Sheet1!$A$2:$A$31,0))</f>
        <v>73</v>
      </c>
      <c r="G17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Very Good</v>
      </c>
    </row>
    <row r="18" spans="4:7">
      <c r="D18" s="4">
        <v>6</v>
      </c>
      <c r="E18" s="7" t="s">
        <v>8</v>
      </c>
      <c r="F18" s="4">
        <f>VLOOKUP(C5,Sheet1!A1:J31,9,FALSE)</f>
        <v>77</v>
      </c>
      <c r="G18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Very Good</v>
      </c>
    </row>
    <row r="19" spans="4:7">
      <c r="D19" s="4">
        <v>7</v>
      </c>
      <c r="E19" s="7" t="s">
        <v>9</v>
      </c>
      <c r="F19" s="4">
        <f>VLOOKUP(C5,Sheet1!A1:J31,10,FALSE)</f>
        <v>69</v>
      </c>
      <c r="G19" s="4" t="str">
        <f>IF(Table1[[#This Row],[Score]]&lt;45,"Fail",IF(Table1[[#This Row],[Score]]&lt;=55,"Pass",IF(Table1[[#This Row],[Score]]&lt;=65,"Good",IF(Table1[[#This Row],[Score]]&lt;=80,"Very Good",IF(Table1[[#This Row],[Score]]&gt;80,"Excellent")))))</f>
        <v>Very Good</v>
      </c>
    </row>
    <row r="20" spans="4:7">
      <c r="E20" s="7" t="s">
        <v>81</v>
      </c>
      <c r="F20" s="4">
        <f>SUM(F13:F19)</f>
        <v>504</v>
      </c>
    </row>
    <row r="22" spans="4:7">
      <c r="D22" s="7" t="s">
        <v>91</v>
      </c>
      <c r="E22" s="4" t="s">
        <v>95</v>
      </c>
    </row>
    <row r="23" spans="4:7">
      <c r="D23" s="7" t="s">
        <v>92</v>
      </c>
      <c r="E23" s="4">
        <f>SUM(F13:F19)</f>
        <v>504</v>
      </c>
    </row>
    <row r="24" spans="4:7">
      <c r="D24" s="7" t="s">
        <v>93</v>
      </c>
      <c r="E24" s="8">
        <f>E23/E22</f>
        <v>0.72</v>
      </c>
    </row>
    <row r="25" spans="4:7">
      <c r="D25" s="7" t="s">
        <v>94</v>
      </c>
      <c r="E25" s="4" t="str">
        <f>IF(E24&lt;45%,"Fail",IF(E24&lt;=55%,"Pass",IF(E24&lt;=65%,"Good",IF(E24&lt;=80%,"Very Good",IF(E24&gt;80%,"Excellent")))))</f>
        <v>Very Good</v>
      </c>
    </row>
    <row r="26" spans="4:7">
      <c r="D26" s="7"/>
      <c r="E26" s="4" t="str">
        <f>IF(E25&gt;45%,"Promoted","Repeat")</f>
        <v>Promoted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6E19F7-636A-44B5-B7E2-0F3CD44F3D96}">
          <x14:formula1>
            <xm:f>Sheet1!$A$2:$A$31</xm:f>
          </x14:formula1>
          <xm:sqref>C5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310749-3EFE-4291-B98E-B2C89E47D4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2026-05-10T12:52:43Z</dcterms:created>
  <dcterms:modified xsi:type="dcterms:W3CDTF">2026-05-10T12:52:44Z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