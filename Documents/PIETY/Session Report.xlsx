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6A314344-85AC-4AB3-A361-B3560616570E}" xr6:coauthVersionLast="43" xr6:coauthVersionMax="43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Report Card" sheetId="3" r:id="rId2"/>
  </sheets>
  <definedNames>
    <definedName name="_xlnm._FilterDatabase" localSheetId="0" hidden="1">Sheet1!$A$1:$J$31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25" i="3" l="1"/>
  <c r="F13" i="3"/>
  <c r="C6" i="3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C7" i="3" l="1"/>
  <c r="F19" i="3"/>
  <c r="G19" i="3" s="1"/>
  <c r="F18" i="3"/>
  <c r="G18" i="3" s="1"/>
  <c r="F17" i="3"/>
  <c r="G17" i="3" s="1"/>
  <c r="F16" i="3"/>
  <c r="G16" i="3" s="1"/>
  <c r="F15" i="3"/>
  <c r="G15" i="3" s="1"/>
  <c r="F14" i="3"/>
  <c r="G14" i="3" s="1"/>
  <c r="E23" i="3" l="1"/>
  <c r="E24" i="3" s="1"/>
  <c r="E26" i="3" s="1"/>
  <c r="E27" i="3" s="1"/>
  <c r="F20" i="3"/>
  <c r="G13" i="3"/>
</calcChain>
</file>

<file path=xl/sharedStrings.xml><?xml version="1.0" encoding="utf-8"?>
<sst xmlns="http://schemas.openxmlformats.org/spreadsheetml/2006/main" count="126" uniqueCount="99">
  <si>
    <t>STUDENT ID</t>
  </si>
  <si>
    <t>NAME</t>
  </si>
  <si>
    <t>DEPT</t>
  </si>
  <si>
    <t>MATHS</t>
  </si>
  <si>
    <t>ENGLISH</t>
  </si>
  <si>
    <t>PHY</t>
  </si>
  <si>
    <t>BIO</t>
  </si>
  <si>
    <t>CHE</t>
  </si>
  <si>
    <t>AGRIC</t>
  </si>
  <si>
    <t>GEO</t>
  </si>
  <si>
    <t>IKT34</t>
  </si>
  <si>
    <t>Adeola Musa</t>
  </si>
  <si>
    <t>Computer Science</t>
  </si>
  <si>
    <t>IKT02</t>
  </si>
  <si>
    <t>Tunde Balogun</t>
  </si>
  <si>
    <t>Accounting</t>
  </si>
  <si>
    <t>IKT89</t>
  </si>
  <si>
    <t>Chioma Okeke</t>
  </si>
  <si>
    <t>Biology</t>
  </si>
  <si>
    <t>IKT11</t>
  </si>
  <si>
    <t>Ibrahim Bello</t>
  </si>
  <si>
    <t>Engineering</t>
  </si>
  <si>
    <t>IKT53</t>
  </si>
  <si>
    <t>Ngozi Eze</t>
  </si>
  <si>
    <t>Economics</t>
  </si>
  <si>
    <t>IKT27</t>
  </si>
  <si>
    <t>Samuel Adeyemi</t>
  </si>
  <si>
    <t>Geography</t>
  </si>
  <si>
    <t>IKT75</t>
  </si>
  <si>
    <t>Ruth Akinwale</t>
  </si>
  <si>
    <t>Microbiology</t>
  </si>
  <si>
    <t>IKT20</t>
  </si>
  <si>
    <t>Emeka Obi</t>
  </si>
  <si>
    <t>Physics</t>
  </si>
  <si>
    <t>IKT61</t>
  </si>
  <si>
    <t>Zainab Sadiq</t>
  </si>
  <si>
    <t>Chemistry</t>
  </si>
  <si>
    <t>IKT08</t>
  </si>
  <si>
    <t>David Ojo</t>
  </si>
  <si>
    <t>IKT44</t>
  </si>
  <si>
    <t>Grace Nwosu</t>
  </si>
  <si>
    <t>IKT92</t>
  </si>
  <si>
    <t>Kingsley Uche</t>
  </si>
  <si>
    <t>IKT36</t>
  </si>
  <si>
    <t>Amina Bello</t>
  </si>
  <si>
    <t>Agriculture</t>
  </si>
  <si>
    <t>IKT14</t>
  </si>
  <si>
    <t>Peter Okon</t>
  </si>
  <si>
    <t>Geology</t>
  </si>
  <si>
    <t>IKT71</t>
  </si>
  <si>
    <t>Blessing Eze</t>
  </si>
  <si>
    <t>IKT16</t>
  </si>
  <si>
    <t>Kolade Lawal</t>
  </si>
  <si>
    <t>IKT50</t>
  </si>
  <si>
    <t>Halima Musa</t>
  </si>
  <si>
    <t>IKT83</t>
  </si>
  <si>
    <t>Victor James</t>
  </si>
  <si>
    <t>IKT05</t>
  </si>
  <si>
    <t>Joy Olatunji</t>
  </si>
  <si>
    <t>IKT99</t>
  </si>
  <si>
    <t>Sani Abdullahi</t>
  </si>
  <si>
    <t>IKT21</t>
  </si>
  <si>
    <t>Esther Okafor</t>
  </si>
  <si>
    <t>IKT64</t>
  </si>
  <si>
    <t>Adewale Yusuf</t>
  </si>
  <si>
    <t>IKT03</t>
  </si>
  <si>
    <t>Chinedu Nnamdi</t>
  </si>
  <si>
    <t>IKT57</t>
  </si>
  <si>
    <t>Maryam Aliyu</t>
  </si>
  <si>
    <t>IKT41</t>
  </si>
  <si>
    <t>Paul Johnson</t>
  </si>
  <si>
    <t>IKT12</t>
  </si>
  <si>
    <t>Lilian Obi</t>
  </si>
  <si>
    <t>IKT68</t>
  </si>
  <si>
    <t>Usman Garba</t>
  </si>
  <si>
    <t>IKT25</t>
  </si>
  <si>
    <t>Rachel Danjuma</t>
  </si>
  <si>
    <t>IKT77</t>
  </si>
  <si>
    <t>Stephen Adeoye</t>
  </si>
  <si>
    <t>IKT01</t>
  </si>
  <si>
    <t>Fatima Lawal</t>
  </si>
  <si>
    <t>Total</t>
  </si>
  <si>
    <t>Al-Amin Global School</t>
  </si>
  <si>
    <t>Session Report Card</t>
  </si>
  <si>
    <t>Student Id</t>
  </si>
  <si>
    <t>Name</t>
  </si>
  <si>
    <t>Department</t>
  </si>
  <si>
    <t>S/N</t>
  </si>
  <si>
    <t>Subjects</t>
  </si>
  <si>
    <t>Score</t>
  </si>
  <si>
    <t>Grade</t>
  </si>
  <si>
    <t>Total Mark Obtainable</t>
  </si>
  <si>
    <t>Total Mark Obtained</t>
  </si>
  <si>
    <t>Percentage</t>
  </si>
  <si>
    <t>Comment</t>
  </si>
  <si>
    <t>700</t>
  </si>
  <si>
    <t>Average</t>
  </si>
  <si>
    <t>Rank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</si>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</sst>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1"/>
      <color theme="1"/>
      <name val="'Segoe UI'"/>
    </font>
    <font>
      <sz val="11"/>
      <color theme="1"/>
      <name val="'Segoe UI'"/>
    </font>
    <font>
      <sz val="11"/>
      <color theme="1"/>
      <name val="Arial"/>
    </font>
    <font>
      <b/>
      <sz val="18"/>
      <color rgb="FF000000"/>
      <name val="Bahnschrift Condensed"/>
      <family val="2"/>
    </font>
    <font>
      <b/>
      <u/>
      <sz val="14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/>
    <xf numFmtId="0" fontId="0" fillId="2" borderId="0" xfId="0" applyFont="1" applyFill="1" applyAlignment="1"/>
    <xf numFmtId="0" fontId="4" fillId="2" borderId="0" xfId="0" applyFont="1" applyFill="1" applyAlignment="1"/>
    <xf numFmtId="0" fontId="5" fillId="2" borderId="0" xfId="0" applyFont="1" applyFill="1" applyAlignment="1"/>
    <xf numFmtId="0" fontId="6" fillId="2" borderId="0" xfId="0" applyFont="1" applyFill="1" applyAlignment="1"/>
    <xf numFmtId="9" fontId="0" fillId="2" borderId="0" xfId="0" applyNumberFormat="1" applyFont="1" applyFill="1" applyAlignment="1"/>
    <xf numFmtId="1" fontId="0" fillId="0" borderId="0" xfId="0" applyNumberFormat="1" applyFont="1" applyAlignment="1"/>
    <xf numFmtId="0" fontId="0" fillId="2" borderId="0" xfId="0" applyNumberFormat="1" applyFont="1" applyFill="1" applyAlignmen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fill>
        <patternFill patternType="solid">
          <fgColor indexed="64"/>
          <bgColor theme="9" tint="-0.249977111117893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fill>
        <patternFill patternType="solid">
          <fgColor indexed="64"/>
          <bgColor theme="9" tint="-0.249977111117893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fill>
        <patternFill patternType="solid">
          <fgColor indexed="64"/>
          <bgColor theme="9" tint="-0.249977111117893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fill>
        <patternFill patternType="solid">
          <fgColor indexed="64"/>
          <bgColor theme="9" tint="-0.249977111117893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fill>
        <patternFill patternType="solid">
          <fgColor indexed="64"/>
          <bgColor theme="9" tint="-0.249977111117893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fill>
        <patternFill patternType="solid">
          <fgColor indexed="64"/>
          <bgColor theme="9" tint="-0.249977111117893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10/relationships/person" Target="persons/person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8C1102-5C65-46C1-826E-5974CE86AC4C}" name="Table1" displayName="Table1" ref="D12:G20" totalsRowShown="0" headerRowDxfId="6" dataDxfId="5">
  <autoFilter ref="D12:G20" xr:uid="{DE99B944-2D05-49E9-AE4C-8B3BAE5636CA}">
    <filterColumn colId="0" hiddenButton="1"/>
    <filterColumn colId="1" hiddenButton="1"/>
    <filterColumn colId="2" hiddenButton="1"/>
    <filterColumn colId="3" hiddenButton="1"/>
  </autoFilter>
  <tableColumns count="4">
    <tableColumn id="1" xr3:uid="{E237006D-8043-4CBA-9206-C28B81DC04AF}" name="S/N" dataDxfId="4"/>
    <tableColumn id="2" xr3:uid="{4A6ABF49-4513-483A-B6D9-BE2CFB3A4EB3}" name="Subjects" dataDxfId="3"/>
    <tableColumn id="3" xr3:uid="{0730BCBC-455D-4075-9336-1E6AE44A7B11}" name="Score" dataDxfId="2">
      <calculatedColumnFormula>INDEX(Sheet1!D$2:D$31,MATCH('Report Card'!$C$5,Sheet1!$A$2:$A$31,0))</calculatedColumnFormula>
    </tableColumn>
    <tableColumn id="4" xr3:uid="{D47CFAE0-FB3C-40B4-BD05-660968A9E0CF}" name="Grade" dataDxfId="1">
      <calculatedColumnFormula>IF(Table1[[#This Row],[Score]]&lt;45,"Fail",IF(Table1[[#This Row],[Score]]&lt;=55,"Pass",IF(Table1[[#This Row],[Score]]&lt;=65,"Good",IF(Table1[[#This Row],[Score]]&lt;=80,"Very Good",IF(Table1[[#This Row],[Score]]&gt;80,"Excellent")))))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412443-5222-4C66-8825-E4A5654C8651}" name="Table3" displayName="Table3" ref="D22:E27" totalsRowShown="0">
  <autoFilter ref="D22:E27" xr:uid="{9F1D906F-3699-4D3E-81A2-80B617DCACA7}">
    <filterColumn colId="0" hiddenButton="1"/>
    <filterColumn colId="1" hiddenButton="1"/>
  </autoFilter>
  <tableColumns count="2">
    <tableColumn id="1" xr3:uid="{934CA1A3-66C6-4686-8931-CBA820D5A633}" name="Total Mark Obtainable" dataDxfId="0"/>
    <tableColumn id="2" xr3:uid="{4C33200F-FF5E-47EE-AA0F-F6124DC50237}" name="70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1"/>
  <sheetViews>
    <sheetView topLeftCell="A12" workbookViewId="0">
      <selection activeCell="K2" sqref="K2:K31"/>
    </sheetView>
  </sheetViews>
  <sheetFormatPr defaultColWidth="12.6328125" defaultRowHeight="15.75" customHeight="1"/>
  <cols>
    <col min="2" max="2" width="14.9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96</v>
      </c>
      <c r="L1" s="1" t="s">
        <v>97</v>
      </c>
    </row>
    <row r="2" spans="1:12">
      <c r="A2" s="2" t="s">
        <v>10</v>
      </c>
      <c r="B2" s="2" t="s">
        <v>11</v>
      </c>
      <c r="C2" s="2" t="s">
        <v>12</v>
      </c>
      <c r="D2" s="2">
        <v>78</v>
      </c>
      <c r="E2" s="2">
        <v>65</v>
      </c>
      <c r="F2" s="3">
        <v>44</v>
      </c>
      <c r="G2" s="2">
        <v>74</v>
      </c>
      <c r="H2" s="2">
        <v>69</v>
      </c>
      <c r="I2" s="2">
        <v>55</v>
      </c>
      <c r="J2" s="2">
        <v>60</v>
      </c>
      <c r="K2" s="9">
        <f>AVERAGE(D2:J2)</f>
        <v>63.571428571428569</v>
      </c>
      <c r="L2">
        <f>RANK(K2,$K$2:$K$31,0)</f>
        <v>24</v>
      </c>
    </row>
    <row r="3" spans="1:12">
      <c r="A3" s="2" t="s">
        <v>13</v>
      </c>
      <c r="B3" s="2" t="s">
        <v>14</v>
      </c>
      <c r="C3" s="2" t="s">
        <v>15</v>
      </c>
      <c r="D3" s="2">
        <v>55</v>
      </c>
      <c r="E3" s="2">
        <v>60</v>
      </c>
      <c r="F3" s="2">
        <v>48</v>
      </c>
      <c r="G3" s="2">
        <v>52</v>
      </c>
      <c r="H3" s="2">
        <v>72</v>
      </c>
      <c r="I3" s="2">
        <v>67</v>
      </c>
      <c r="J3" s="2">
        <v>58</v>
      </c>
      <c r="K3" s="9">
        <f t="shared" ref="K3:K31" si="0">AVERAGE(D3:J3)</f>
        <v>58.857142857142854</v>
      </c>
      <c r="L3">
        <f t="shared" ref="L3:L31" si="1">RANK(K3,$K$2:$K$31,0)</f>
        <v>30</v>
      </c>
    </row>
    <row r="4" spans="1:12">
      <c r="A4" s="2" t="s">
        <v>16</v>
      </c>
      <c r="B4" s="2" t="s">
        <v>17</v>
      </c>
      <c r="C4" s="2" t="s">
        <v>18</v>
      </c>
      <c r="D4" s="2">
        <v>85</v>
      </c>
      <c r="E4" s="2">
        <v>79</v>
      </c>
      <c r="F4" s="2">
        <v>74</v>
      </c>
      <c r="G4" s="2">
        <v>88</v>
      </c>
      <c r="H4" s="2">
        <v>81</v>
      </c>
      <c r="I4" s="2">
        <v>70</v>
      </c>
      <c r="J4" s="2">
        <v>72</v>
      </c>
      <c r="K4" s="9">
        <f t="shared" si="0"/>
        <v>78.428571428571431</v>
      </c>
      <c r="L4">
        <f t="shared" si="1"/>
        <v>1</v>
      </c>
    </row>
    <row r="5" spans="1:12">
      <c r="A5" s="2" t="s">
        <v>19</v>
      </c>
      <c r="B5" s="2" t="s">
        <v>20</v>
      </c>
      <c r="C5" s="2" t="s">
        <v>21</v>
      </c>
      <c r="D5" s="2">
        <v>90</v>
      </c>
      <c r="E5" s="2">
        <v>76</v>
      </c>
      <c r="F5" s="2">
        <v>88</v>
      </c>
      <c r="G5" s="3">
        <v>55</v>
      </c>
      <c r="H5" s="2">
        <v>84</v>
      </c>
      <c r="I5" s="2">
        <v>73</v>
      </c>
      <c r="J5" s="2">
        <v>75</v>
      </c>
      <c r="K5" s="9">
        <f t="shared" si="0"/>
        <v>77.285714285714292</v>
      </c>
      <c r="L5">
        <f t="shared" si="1"/>
        <v>3</v>
      </c>
    </row>
    <row r="6" spans="1:12">
      <c r="A6" s="2" t="s">
        <v>22</v>
      </c>
      <c r="B6" s="2" t="s">
        <v>23</v>
      </c>
      <c r="C6" s="2" t="s">
        <v>24</v>
      </c>
      <c r="D6" s="2">
        <v>62</v>
      </c>
      <c r="E6" s="2">
        <v>70</v>
      </c>
      <c r="F6" s="2">
        <v>58</v>
      </c>
      <c r="G6" s="2">
        <v>60</v>
      </c>
      <c r="H6" s="2">
        <v>64</v>
      </c>
      <c r="I6" s="2">
        <v>66</v>
      </c>
      <c r="J6" s="2">
        <v>59</v>
      </c>
      <c r="K6" s="9">
        <f t="shared" si="0"/>
        <v>62.714285714285715</v>
      </c>
      <c r="L6">
        <f t="shared" si="1"/>
        <v>26</v>
      </c>
    </row>
    <row r="7" spans="1:12">
      <c r="A7" s="2" t="s">
        <v>25</v>
      </c>
      <c r="B7" s="2" t="s">
        <v>26</v>
      </c>
      <c r="C7" s="2" t="s">
        <v>27</v>
      </c>
      <c r="D7" s="2">
        <v>71</v>
      </c>
      <c r="E7" s="2">
        <v>68</v>
      </c>
      <c r="F7" s="2">
        <v>72</v>
      </c>
      <c r="G7" s="2">
        <v>65</v>
      </c>
      <c r="H7" s="2">
        <v>60</v>
      </c>
      <c r="I7" s="2">
        <v>75</v>
      </c>
      <c r="J7" s="3">
        <v>44</v>
      </c>
      <c r="K7" s="9">
        <f t="shared" si="0"/>
        <v>65</v>
      </c>
      <c r="L7">
        <f t="shared" si="1"/>
        <v>23</v>
      </c>
    </row>
    <row r="8" spans="1:12">
      <c r="A8" s="2" t="s">
        <v>28</v>
      </c>
      <c r="B8" s="2" t="s">
        <v>29</v>
      </c>
      <c r="C8" s="2" t="s">
        <v>30</v>
      </c>
      <c r="D8" s="3">
        <v>44</v>
      </c>
      <c r="E8" s="2">
        <v>74</v>
      </c>
      <c r="F8" s="2">
        <v>78</v>
      </c>
      <c r="G8" s="2">
        <v>82</v>
      </c>
      <c r="H8" s="2">
        <v>77</v>
      </c>
      <c r="I8" s="2">
        <v>69</v>
      </c>
      <c r="J8" s="2">
        <v>70</v>
      </c>
      <c r="K8" s="9">
        <f t="shared" si="0"/>
        <v>70.571428571428569</v>
      </c>
      <c r="L8">
        <f t="shared" si="1"/>
        <v>13</v>
      </c>
    </row>
    <row r="9" spans="1:12">
      <c r="A9" s="2" t="s">
        <v>31</v>
      </c>
      <c r="B9" s="2" t="s">
        <v>32</v>
      </c>
      <c r="C9" s="2" t="s">
        <v>33</v>
      </c>
      <c r="D9" s="3">
        <v>44</v>
      </c>
      <c r="E9" s="2">
        <v>66</v>
      </c>
      <c r="F9" s="2">
        <v>91</v>
      </c>
      <c r="G9" s="2">
        <v>73</v>
      </c>
      <c r="H9" s="2">
        <v>85</v>
      </c>
      <c r="I9" s="2">
        <v>60</v>
      </c>
      <c r="J9" s="2">
        <v>64</v>
      </c>
      <c r="K9" s="9">
        <f t="shared" si="0"/>
        <v>69</v>
      </c>
      <c r="L9">
        <f t="shared" si="1"/>
        <v>16</v>
      </c>
    </row>
    <row r="10" spans="1:12">
      <c r="A10" s="2" t="s">
        <v>34</v>
      </c>
      <c r="B10" s="2" t="s">
        <v>35</v>
      </c>
      <c r="C10" s="2" t="s">
        <v>36</v>
      </c>
      <c r="D10" s="2">
        <v>73</v>
      </c>
      <c r="E10" s="2">
        <v>70</v>
      </c>
      <c r="F10" s="2">
        <v>75</v>
      </c>
      <c r="G10" s="2">
        <v>68</v>
      </c>
      <c r="H10" s="2">
        <v>80</v>
      </c>
      <c r="I10" s="2">
        <v>65</v>
      </c>
      <c r="J10" s="2">
        <v>69</v>
      </c>
      <c r="K10" s="9">
        <f t="shared" si="0"/>
        <v>71.428571428571431</v>
      </c>
      <c r="L10">
        <f t="shared" si="1"/>
        <v>9</v>
      </c>
    </row>
    <row r="11" spans="1:12">
      <c r="A11" s="2" t="s">
        <v>37</v>
      </c>
      <c r="B11" s="2" t="s">
        <v>38</v>
      </c>
      <c r="C11" s="2" t="s">
        <v>21</v>
      </c>
      <c r="D11" s="3">
        <v>44</v>
      </c>
      <c r="E11" s="2">
        <v>77</v>
      </c>
      <c r="F11" s="3">
        <v>55</v>
      </c>
      <c r="G11" s="2">
        <v>79</v>
      </c>
      <c r="H11" s="2">
        <v>81</v>
      </c>
      <c r="I11" s="2">
        <v>72</v>
      </c>
      <c r="J11" s="2">
        <v>74</v>
      </c>
      <c r="K11" s="9">
        <f t="shared" si="0"/>
        <v>68.857142857142861</v>
      </c>
      <c r="L11">
        <f t="shared" si="1"/>
        <v>17</v>
      </c>
    </row>
    <row r="12" spans="1:12">
      <c r="A12" s="2" t="s">
        <v>39</v>
      </c>
      <c r="B12" s="2" t="s">
        <v>40</v>
      </c>
      <c r="C12" s="2" t="s">
        <v>18</v>
      </c>
      <c r="D12" s="3">
        <v>56</v>
      </c>
      <c r="E12" s="2">
        <v>72</v>
      </c>
      <c r="F12" s="2">
        <v>65</v>
      </c>
      <c r="G12" s="2">
        <v>70</v>
      </c>
      <c r="H12" s="2">
        <v>68</v>
      </c>
      <c r="I12" s="2">
        <v>64</v>
      </c>
      <c r="J12" s="2">
        <v>66</v>
      </c>
      <c r="K12" s="9">
        <f t="shared" si="0"/>
        <v>65.857142857142861</v>
      </c>
      <c r="L12">
        <f t="shared" si="1"/>
        <v>22</v>
      </c>
    </row>
    <row r="13" spans="1:12">
      <c r="A13" s="2" t="s">
        <v>41</v>
      </c>
      <c r="B13" s="2" t="s">
        <v>42</v>
      </c>
      <c r="C13" s="2" t="s">
        <v>12</v>
      </c>
      <c r="D13" s="2">
        <v>75</v>
      </c>
      <c r="E13" s="2">
        <v>71</v>
      </c>
      <c r="F13" s="3">
        <v>66</v>
      </c>
      <c r="G13" s="2">
        <v>74</v>
      </c>
      <c r="H13" s="2">
        <v>72</v>
      </c>
      <c r="I13" s="2">
        <v>69</v>
      </c>
      <c r="J13" s="2">
        <v>70</v>
      </c>
      <c r="K13" s="9">
        <f t="shared" si="0"/>
        <v>71</v>
      </c>
      <c r="L13">
        <f t="shared" si="1"/>
        <v>12</v>
      </c>
    </row>
    <row r="14" spans="1:12">
      <c r="A14" s="2" t="s">
        <v>43</v>
      </c>
      <c r="B14" s="2" t="s">
        <v>44</v>
      </c>
      <c r="C14" s="2" t="s">
        <v>45</v>
      </c>
      <c r="D14" s="2">
        <v>66</v>
      </c>
      <c r="E14" s="2">
        <v>68</v>
      </c>
      <c r="F14" s="2">
        <v>62</v>
      </c>
      <c r="G14" s="2">
        <v>64</v>
      </c>
      <c r="H14" s="2">
        <v>65</v>
      </c>
      <c r="I14" s="2">
        <v>78</v>
      </c>
      <c r="J14" s="2">
        <v>72</v>
      </c>
      <c r="K14" s="9">
        <f t="shared" si="0"/>
        <v>67.857142857142861</v>
      </c>
      <c r="L14">
        <f t="shared" si="1"/>
        <v>18</v>
      </c>
    </row>
    <row r="15" spans="1:12">
      <c r="A15" s="2" t="s">
        <v>46</v>
      </c>
      <c r="B15" s="2" t="s">
        <v>47</v>
      </c>
      <c r="C15" s="2" t="s">
        <v>48</v>
      </c>
      <c r="D15" s="3">
        <v>55</v>
      </c>
      <c r="E15" s="2">
        <v>73</v>
      </c>
      <c r="F15" s="2">
        <v>76</v>
      </c>
      <c r="G15" s="2">
        <v>68</v>
      </c>
      <c r="H15" s="2">
        <v>74</v>
      </c>
      <c r="I15" s="2">
        <v>60</v>
      </c>
      <c r="J15" s="2">
        <v>82</v>
      </c>
      <c r="K15" s="9">
        <f t="shared" si="0"/>
        <v>69.714285714285708</v>
      </c>
      <c r="L15">
        <f t="shared" si="1"/>
        <v>14</v>
      </c>
    </row>
    <row r="16" spans="1:12">
      <c r="A16" s="2" t="s">
        <v>49</v>
      </c>
      <c r="B16" s="2" t="s">
        <v>50</v>
      </c>
      <c r="C16" s="2" t="s">
        <v>15</v>
      </c>
      <c r="D16" s="2">
        <v>72</v>
      </c>
      <c r="E16" s="2">
        <v>65</v>
      </c>
      <c r="F16" s="2">
        <v>60</v>
      </c>
      <c r="G16" s="2">
        <v>58</v>
      </c>
      <c r="H16" s="2">
        <v>69</v>
      </c>
      <c r="I16" s="2">
        <v>70</v>
      </c>
      <c r="J16" s="3">
        <v>44</v>
      </c>
      <c r="K16" s="9">
        <f t="shared" si="0"/>
        <v>62.571428571428569</v>
      </c>
      <c r="L16">
        <f t="shared" si="1"/>
        <v>27</v>
      </c>
    </row>
    <row r="17" spans="1:12">
      <c r="A17" s="2" t="s">
        <v>51</v>
      </c>
      <c r="B17" s="2" t="s">
        <v>52</v>
      </c>
      <c r="C17" s="2" t="s">
        <v>24</v>
      </c>
      <c r="D17" s="2">
        <v>68</v>
      </c>
      <c r="E17" s="2">
        <v>72</v>
      </c>
      <c r="F17" s="2">
        <v>70</v>
      </c>
      <c r="G17" s="2">
        <v>66</v>
      </c>
      <c r="H17" s="2">
        <v>71</v>
      </c>
      <c r="I17" s="2">
        <v>63</v>
      </c>
      <c r="J17" s="2">
        <v>60</v>
      </c>
      <c r="K17" s="9">
        <f t="shared" si="0"/>
        <v>67.142857142857139</v>
      </c>
      <c r="L17">
        <f t="shared" si="1"/>
        <v>20</v>
      </c>
    </row>
    <row r="18" spans="1:12">
      <c r="A18" s="2" t="s">
        <v>53</v>
      </c>
      <c r="B18" s="2" t="s">
        <v>54</v>
      </c>
      <c r="C18" s="2" t="s">
        <v>45</v>
      </c>
      <c r="D18" s="2">
        <v>64</v>
      </c>
      <c r="E18" s="2">
        <v>66</v>
      </c>
      <c r="F18" s="3">
        <v>55</v>
      </c>
      <c r="G18" s="2">
        <v>65</v>
      </c>
      <c r="H18" s="2">
        <v>68</v>
      </c>
      <c r="I18" s="2">
        <v>74</v>
      </c>
      <c r="J18" s="2">
        <v>70</v>
      </c>
      <c r="K18" s="9">
        <f t="shared" si="0"/>
        <v>66</v>
      </c>
      <c r="L18">
        <f t="shared" si="1"/>
        <v>21</v>
      </c>
    </row>
    <row r="19" spans="1:12">
      <c r="A19" s="2" t="s">
        <v>55</v>
      </c>
      <c r="B19" s="2" t="s">
        <v>56</v>
      </c>
      <c r="C19" s="2" t="s">
        <v>33</v>
      </c>
      <c r="D19" s="2">
        <v>77</v>
      </c>
      <c r="E19" s="3">
        <v>55</v>
      </c>
      <c r="F19" s="2">
        <v>85</v>
      </c>
      <c r="G19" s="2">
        <v>70</v>
      </c>
      <c r="H19" s="2">
        <v>80</v>
      </c>
      <c r="I19" s="2">
        <v>66</v>
      </c>
      <c r="J19" s="2">
        <v>68</v>
      </c>
      <c r="K19" s="9">
        <f t="shared" si="0"/>
        <v>71.571428571428569</v>
      </c>
      <c r="L19">
        <f t="shared" si="1"/>
        <v>8</v>
      </c>
    </row>
    <row r="20" spans="1:12">
      <c r="A20" s="2" t="s">
        <v>57</v>
      </c>
      <c r="B20" s="2" t="s">
        <v>58</v>
      </c>
      <c r="C20" s="2" t="s">
        <v>30</v>
      </c>
      <c r="D20" s="2">
        <v>73</v>
      </c>
      <c r="E20" s="2">
        <v>75</v>
      </c>
      <c r="F20" s="2">
        <v>70</v>
      </c>
      <c r="G20" s="2">
        <v>76</v>
      </c>
      <c r="H20" s="2">
        <v>72</v>
      </c>
      <c r="I20" s="2">
        <v>65</v>
      </c>
      <c r="J20" s="2">
        <v>67</v>
      </c>
      <c r="K20" s="9">
        <f t="shared" si="0"/>
        <v>71.142857142857139</v>
      </c>
      <c r="L20">
        <f t="shared" si="1"/>
        <v>11</v>
      </c>
    </row>
    <row r="21" spans="1:12">
      <c r="A21" s="2" t="s">
        <v>59</v>
      </c>
      <c r="B21" s="2" t="s">
        <v>60</v>
      </c>
      <c r="C21" s="2" t="s">
        <v>21</v>
      </c>
      <c r="D21" s="3">
        <v>55</v>
      </c>
      <c r="E21" s="2">
        <v>78</v>
      </c>
      <c r="F21" s="3">
        <v>25</v>
      </c>
      <c r="G21" s="2">
        <v>82</v>
      </c>
      <c r="H21" s="3">
        <v>22</v>
      </c>
      <c r="I21" s="2">
        <v>80</v>
      </c>
      <c r="J21" s="2">
        <v>79</v>
      </c>
      <c r="K21" s="9">
        <f t="shared" si="0"/>
        <v>60.142857142857146</v>
      </c>
      <c r="L21">
        <f t="shared" si="1"/>
        <v>29</v>
      </c>
    </row>
    <row r="22" spans="1:12">
      <c r="A22" s="2" t="s">
        <v>61</v>
      </c>
      <c r="B22" s="2" t="s">
        <v>62</v>
      </c>
      <c r="C22" s="2" t="s">
        <v>18</v>
      </c>
      <c r="D22" s="2">
        <v>74</v>
      </c>
      <c r="E22" s="2">
        <v>76</v>
      </c>
      <c r="F22" s="2">
        <v>72</v>
      </c>
      <c r="G22" s="2">
        <v>78</v>
      </c>
      <c r="H22" s="2">
        <v>75</v>
      </c>
      <c r="I22" s="2">
        <v>68</v>
      </c>
      <c r="J22" s="2">
        <v>70</v>
      </c>
      <c r="K22" s="9">
        <f t="shared" si="0"/>
        <v>73.285714285714292</v>
      </c>
      <c r="L22">
        <f t="shared" si="1"/>
        <v>6</v>
      </c>
    </row>
    <row r="23" spans="1:12">
      <c r="A23" s="2" t="s">
        <v>63</v>
      </c>
      <c r="B23" s="2" t="s">
        <v>64</v>
      </c>
      <c r="C23" s="2" t="s">
        <v>27</v>
      </c>
      <c r="D23" s="2">
        <v>69</v>
      </c>
      <c r="E23" s="2">
        <v>70</v>
      </c>
      <c r="F23" s="2">
        <v>68</v>
      </c>
      <c r="G23" s="2">
        <v>66</v>
      </c>
      <c r="H23" s="2">
        <v>72</v>
      </c>
      <c r="I23" s="2">
        <v>74</v>
      </c>
      <c r="J23" s="2">
        <v>81</v>
      </c>
      <c r="K23" s="9">
        <f t="shared" si="0"/>
        <v>71.428571428571431</v>
      </c>
      <c r="L23">
        <f t="shared" si="1"/>
        <v>9</v>
      </c>
    </row>
    <row r="24" spans="1:12">
      <c r="A24" s="2" t="s">
        <v>65</v>
      </c>
      <c r="B24" s="2" t="s">
        <v>66</v>
      </c>
      <c r="C24" s="2" t="s">
        <v>12</v>
      </c>
      <c r="D24" s="2">
        <v>82</v>
      </c>
      <c r="E24" s="2">
        <v>79</v>
      </c>
      <c r="F24" s="2">
        <v>84</v>
      </c>
      <c r="G24" s="2">
        <v>80</v>
      </c>
      <c r="H24" s="2">
        <v>78</v>
      </c>
      <c r="I24" s="2">
        <v>72</v>
      </c>
      <c r="J24" s="2">
        <v>73</v>
      </c>
      <c r="K24" s="9">
        <f t="shared" si="0"/>
        <v>78.285714285714292</v>
      </c>
      <c r="L24">
        <f t="shared" si="1"/>
        <v>2</v>
      </c>
    </row>
    <row r="25" spans="1:12">
      <c r="A25" s="2" t="s">
        <v>67</v>
      </c>
      <c r="B25" s="2" t="s">
        <v>68</v>
      </c>
      <c r="C25" s="2" t="s">
        <v>36</v>
      </c>
      <c r="D25" s="2">
        <v>70</v>
      </c>
      <c r="E25" s="2">
        <v>74</v>
      </c>
      <c r="F25" s="2">
        <v>68</v>
      </c>
      <c r="G25" s="3">
        <v>55</v>
      </c>
      <c r="H25" s="2">
        <v>75</v>
      </c>
      <c r="I25" s="2">
        <v>77</v>
      </c>
      <c r="J25" s="2">
        <v>69</v>
      </c>
      <c r="K25" s="9">
        <f t="shared" si="0"/>
        <v>69.714285714285708</v>
      </c>
      <c r="L25">
        <f t="shared" si="1"/>
        <v>14</v>
      </c>
    </row>
    <row r="26" spans="1:12">
      <c r="A26" s="2" t="s">
        <v>69</v>
      </c>
      <c r="B26" s="2" t="s">
        <v>70</v>
      </c>
      <c r="C26" s="2" t="s">
        <v>21</v>
      </c>
      <c r="D26" s="3">
        <v>55</v>
      </c>
      <c r="E26" s="2">
        <v>80</v>
      </c>
      <c r="F26" s="2">
        <v>90</v>
      </c>
      <c r="G26" s="2">
        <v>78</v>
      </c>
      <c r="H26" s="2">
        <v>84</v>
      </c>
      <c r="I26" s="2">
        <v>76</v>
      </c>
      <c r="J26" s="2">
        <v>75</v>
      </c>
      <c r="K26" s="9">
        <f t="shared" si="0"/>
        <v>76.857142857142861</v>
      </c>
      <c r="L26">
        <f t="shared" si="1"/>
        <v>5</v>
      </c>
    </row>
    <row r="27" spans="1:12">
      <c r="A27" s="2" t="s">
        <v>71</v>
      </c>
      <c r="B27" s="2" t="s">
        <v>72</v>
      </c>
      <c r="C27" s="2" t="s">
        <v>15</v>
      </c>
      <c r="D27" s="2">
        <v>65</v>
      </c>
      <c r="E27" s="2">
        <v>70</v>
      </c>
      <c r="F27" s="2">
        <v>60</v>
      </c>
      <c r="G27" s="2">
        <v>62</v>
      </c>
      <c r="H27" s="2">
        <v>68</v>
      </c>
      <c r="I27" s="3">
        <v>55</v>
      </c>
      <c r="J27" s="2">
        <v>64</v>
      </c>
      <c r="K27" s="9">
        <f t="shared" si="0"/>
        <v>63.428571428571431</v>
      </c>
      <c r="L27">
        <f t="shared" si="1"/>
        <v>25</v>
      </c>
    </row>
    <row r="28" spans="1:12">
      <c r="A28" s="2" t="s">
        <v>73</v>
      </c>
      <c r="B28" s="2" t="s">
        <v>74</v>
      </c>
      <c r="C28" s="2" t="s">
        <v>45</v>
      </c>
      <c r="D28" s="3">
        <v>44</v>
      </c>
      <c r="E28" s="2">
        <v>66</v>
      </c>
      <c r="F28" s="2">
        <v>70</v>
      </c>
      <c r="G28" s="2">
        <v>72</v>
      </c>
      <c r="H28" s="3">
        <v>44</v>
      </c>
      <c r="I28" s="3">
        <v>55</v>
      </c>
      <c r="J28" s="2">
        <v>74</v>
      </c>
      <c r="K28" s="9">
        <f t="shared" si="0"/>
        <v>60.714285714285715</v>
      </c>
      <c r="L28">
        <f t="shared" si="1"/>
        <v>28</v>
      </c>
    </row>
    <row r="29" spans="1:12">
      <c r="A29" s="2" t="s">
        <v>75</v>
      </c>
      <c r="B29" s="2" t="s">
        <v>76</v>
      </c>
      <c r="C29" s="2" t="s">
        <v>18</v>
      </c>
      <c r="D29" s="2">
        <v>75</v>
      </c>
      <c r="E29" s="2">
        <v>78</v>
      </c>
      <c r="F29" s="3">
        <v>55</v>
      </c>
      <c r="G29" s="3">
        <v>44</v>
      </c>
      <c r="H29" s="2">
        <v>77</v>
      </c>
      <c r="I29" s="2">
        <v>70</v>
      </c>
      <c r="J29" s="2">
        <v>72</v>
      </c>
      <c r="K29" s="9">
        <f t="shared" si="0"/>
        <v>67.285714285714292</v>
      </c>
      <c r="L29">
        <f t="shared" si="1"/>
        <v>19</v>
      </c>
    </row>
    <row r="30" spans="1:12">
      <c r="A30" s="2" t="s">
        <v>77</v>
      </c>
      <c r="B30" s="2" t="s">
        <v>78</v>
      </c>
      <c r="C30" s="2" t="s">
        <v>33</v>
      </c>
      <c r="D30" s="2">
        <v>80</v>
      </c>
      <c r="E30" s="2">
        <v>74</v>
      </c>
      <c r="F30" s="2">
        <v>85</v>
      </c>
      <c r="G30" s="2">
        <v>78</v>
      </c>
      <c r="H30" s="2">
        <v>82</v>
      </c>
      <c r="I30" s="2">
        <v>69</v>
      </c>
      <c r="J30" s="2">
        <v>71</v>
      </c>
      <c r="K30" s="9">
        <f t="shared" si="0"/>
        <v>77</v>
      </c>
      <c r="L30">
        <f t="shared" si="1"/>
        <v>4</v>
      </c>
    </row>
    <row r="31" spans="1:12">
      <c r="A31" s="2" t="s">
        <v>79</v>
      </c>
      <c r="B31" s="2" t="s">
        <v>80</v>
      </c>
      <c r="C31" s="2" t="s">
        <v>24</v>
      </c>
      <c r="D31" s="2">
        <v>72</v>
      </c>
      <c r="E31" s="2">
        <v>75</v>
      </c>
      <c r="F31" s="2">
        <v>70</v>
      </c>
      <c r="G31" s="2">
        <v>68</v>
      </c>
      <c r="H31" s="2">
        <v>73</v>
      </c>
      <c r="I31" s="2">
        <v>77</v>
      </c>
      <c r="J31" s="2">
        <v>69</v>
      </c>
      <c r="K31" s="9">
        <f t="shared" si="0"/>
        <v>72</v>
      </c>
      <c r="L31">
        <f t="shared" si="1"/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D82DD-9258-4E45-AC35-40B06CA571B4}">
  <dimension ref="B2:H27"/>
  <sheetViews>
    <sheetView tabSelected="1" topLeftCell="A5" workbookViewId="0">
      <selection activeCell="C5" sqref="C5"/>
    </sheetView>
  </sheetViews>
  <sheetFormatPr defaultRowHeight="12.5"/>
  <cols>
    <col min="1" max="3" width="8.7265625" style="4"/>
    <col min="4" max="4" width="21.81640625" style="4" customWidth="1"/>
    <col min="5" max="7" width="10.36328125" style="4" customWidth="1"/>
    <col min="8" max="16384" width="8.7265625" style="4"/>
  </cols>
  <sheetData>
    <row r="2" spans="2:8" ht="22">
      <c r="H2" s="5" t="s">
        <v>82</v>
      </c>
    </row>
    <row r="3" spans="2:8" ht="18">
      <c r="G3" s="6" t="s">
        <v>83</v>
      </c>
    </row>
    <row r="5" spans="2:8">
      <c r="B5" s="7" t="s">
        <v>84</v>
      </c>
      <c r="C5" s="4" t="s">
        <v>71</v>
      </c>
    </row>
    <row r="6" spans="2:8">
      <c r="B6" s="7" t="s">
        <v>85</v>
      </c>
      <c r="C6" s="4" t="str">
        <f>VLOOKUP(C5,Sheet1!A1:J31,2,FALSE)</f>
        <v>Lilian Obi</v>
      </c>
    </row>
    <row r="7" spans="2:8">
      <c r="B7" s="7" t="s">
        <v>86</v>
      </c>
      <c r="C7" s="4" t="str">
        <f>VLOOKUP(C5,Sheet1!A1:J31,3,FALSE)</f>
        <v>Accounting</v>
      </c>
    </row>
    <row r="12" spans="2:8">
      <c r="D12" s="7" t="s">
        <v>87</v>
      </c>
      <c r="E12" s="7" t="s">
        <v>88</v>
      </c>
      <c r="F12" s="7" t="s">
        <v>89</v>
      </c>
      <c r="G12" s="7" t="s">
        <v>90</v>
      </c>
    </row>
    <row r="13" spans="2:8">
      <c r="D13" s="4">
        <v>1</v>
      </c>
      <c r="E13" s="7" t="s">
        <v>3</v>
      </c>
      <c r="F13" s="4">
        <f>INDEX(Sheet1!D$2:D$31,MATCH('Report Card'!$C$5,Sheet1!$A$2:$A$31,0))</f>
        <v>65</v>
      </c>
      <c r="G13" s="4" t="str">
        <f>IF(Table1[[#This Row],[Score]]&lt;45,"Fail",IF(Table1[[#This Row],[Score]]&lt;=55,"Pass",IF(Table1[[#This Row],[Score]]&lt;=65,"Good",IF(Table1[[#This Row],[Score]]&lt;=80,"Very Good",IF(Table1[[#This Row],[Score]]&gt;80,"Excellent")))))</f>
        <v>Good</v>
      </c>
    </row>
    <row r="14" spans="2:8">
      <c r="D14" s="4">
        <v>2</v>
      </c>
      <c r="E14" s="7" t="s">
        <v>4</v>
      </c>
      <c r="F14" s="4">
        <f>VLOOKUP(C5,Sheet1!A1:J31,5,FALSE)</f>
        <v>70</v>
      </c>
      <c r="G14" s="4" t="str">
        <f>IF(Table1[[#This Row],[Score]]&lt;45,"Fail",IF(Table1[[#This Row],[Score]]&lt;=55,"Pass",IF(Table1[[#This Row],[Score]]&lt;=65,"Good",IF(Table1[[#This Row],[Score]]&lt;=80,"Very Good",IF(Table1[[#This Row],[Score]]&gt;80,"Excellent")))))</f>
        <v>Very Good</v>
      </c>
    </row>
    <row r="15" spans="2:8">
      <c r="D15" s="4">
        <v>3</v>
      </c>
      <c r="E15" s="7" t="s">
        <v>5</v>
      </c>
      <c r="F15" s="4">
        <f>INDEX(Sheet1!F$2:F$31,MATCH('Report Card'!$C$5,Sheet1!$A$2:$A$31,0))</f>
        <v>60</v>
      </c>
      <c r="G15" s="4" t="str">
        <f>IF(Table1[[#This Row],[Score]]&lt;45,"Fail",IF(Table1[[#This Row],[Score]]&lt;=55,"Pass",IF(Table1[[#This Row],[Score]]&lt;=65,"Good",IF(Table1[[#This Row],[Score]]&lt;=80,"Very Good",IF(Table1[[#This Row],[Score]]&gt;80,"Excellent")))))</f>
        <v>Good</v>
      </c>
    </row>
    <row r="16" spans="2:8">
      <c r="D16" s="4">
        <v>4</v>
      </c>
      <c r="E16" s="7" t="s">
        <v>6</v>
      </c>
      <c r="F16" s="4">
        <f>VLOOKUP(C5,Sheet1!A1:J31,7,FALSE)</f>
        <v>62</v>
      </c>
      <c r="G16" s="4" t="str">
        <f>IF(Table1[[#This Row],[Score]]&lt;45,"Fail",IF(Table1[[#This Row],[Score]]&lt;=55,"Pass",IF(Table1[[#This Row],[Score]]&lt;=65,"Good",IF(Table1[[#This Row],[Score]]&lt;=80,"Very Good",IF(Table1[[#This Row],[Score]]&gt;80,"Excellent")))))</f>
        <v>Good</v>
      </c>
    </row>
    <row r="17" spans="4:7">
      <c r="D17" s="4">
        <v>5</v>
      </c>
      <c r="E17" s="7" t="s">
        <v>7</v>
      </c>
      <c r="F17" s="4">
        <f>INDEX(Sheet1!H$2:H$31,MATCH('Report Card'!$C$5,Sheet1!$A$2:$A$31,0))</f>
        <v>68</v>
      </c>
      <c r="G17" s="4" t="str">
        <f>IF(Table1[[#This Row],[Score]]&lt;45,"Fail",IF(Table1[[#This Row],[Score]]&lt;=55,"Pass",IF(Table1[[#This Row],[Score]]&lt;=65,"Good",IF(Table1[[#This Row],[Score]]&lt;=80,"Very Good",IF(Table1[[#This Row],[Score]]&gt;80,"Excellent")))))</f>
        <v>Very Good</v>
      </c>
    </row>
    <row r="18" spans="4:7">
      <c r="D18" s="4">
        <v>6</v>
      </c>
      <c r="E18" s="7" t="s">
        <v>8</v>
      </c>
      <c r="F18" s="4">
        <f>VLOOKUP(C5,Sheet1!A1:J31,9,FALSE)</f>
        <v>55</v>
      </c>
      <c r="G18" s="4" t="str">
        <f>IF(Table1[[#This Row],[Score]]&lt;45,"Fail",IF(Table1[[#This Row],[Score]]&lt;=55,"Pass",IF(Table1[[#This Row],[Score]]&lt;=65,"Good",IF(Table1[[#This Row],[Score]]&lt;=80,"Very Good",IF(Table1[[#This Row],[Score]]&gt;80,"Excellent")))))</f>
        <v>Pass</v>
      </c>
    </row>
    <row r="19" spans="4:7">
      <c r="D19" s="4">
        <v>7</v>
      </c>
      <c r="E19" s="7" t="s">
        <v>9</v>
      </c>
      <c r="F19" s="4">
        <f>VLOOKUP(C5,Sheet1!A1:J31,10,FALSE)</f>
        <v>64</v>
      </c>
      <c r="G19" s="4" t="str">
        <f>IF(Table1[[#This Row],[Score]]&lt;45,"Fail",IF(Table1[[#This Row],[Score]]&lt;=55,"Pass",IF(Table1[[#This Row],[Score]]&lt;=65,"Good",IF(Table1[[#This Row],[Score]]&lt;=80,"Very Good",IF(Table1[[#This Row],[Score]]&gt;80,"Excellent")))))</f>
        <v>Good</v>
      </c>
    </row>
    <row r="20" spans="4:7">
      <c r="E20" s="7" t="s">
        <v>81</v>
      </c>
      <c r="F20" s="4">
        <f>SUM(F13:F19)</f>
        <v>444</v>
      </c>
    </row>
    <row r="22" spans="4:7">
      <c r="D22" s="7" t="s">
        <v>91</v>
      </c>
      <c r="E22" s="4" t="s">
        <v>95</v>
      </c>
    </row>
    <row r="23" spans="4:7">
      <c r="D23" s="7" t="s">
        <v>92</v>
      </c>
      <c r="E23" s="4">
        <f>SUM(F13:F19)</f>
        <v>444</v>
      </c>
    </row>
    <row r="24" spans="4:7">
      <c r="D24" s="7" t="s">
        <v>93</v>
      </c>
      <c r="E24" s="8">
        <f>E23/E22</f>
        <v>0.63428571428571423</v>
      </c>
    </row>
    <row r="25" spans="4:7">
      <c r="D25" s="7" t="s">
        <v>98</v>
      </c>
      <c r="E25" s="10">
        <f>INDEX(Sheet1!L$2:L$31,MATCH('Report Card'!$C$5,Sheet1!$A$2:$A$31,0))</f>
        <v>25</v>
      </c>
    </row>
    <row r="26" spans="4:7">
      <c r="D26" s="7" t="s">
        <v>94</v>
      </c>
      <c r="E26" s="4" t="str">
        <f>IF(E24&lt;45%,"Fail",IF(E24&lt;=55%,"Pass",IF(E24&lt;=65%,"Good",IF(E24&lt;=80%,"Very Good",IF(E24&gt;80%,"Excellent")))))</f>
        <v>Good</v>
      </c>
    </row>
    <row r="27" spans="4:7">
      <c r="D27" s="7"/>
      <c r="E27" s="4" t="str">
        <f>IF(E26&gt;45%,"Promoted","Repeat")</f>
        <v>Promoted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96E19F7-636A-44B5-B7E2-0F3CD44F3D96}">
          <x14:formula1>
            <xm:f>Sheet1!$A$2:$A$31</xm:f>
          </x14:formula1>
          <xm:sqref>C5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6D39A355080C45AB74C82FF1E3E82A" ma:contentTypeVersion="7" ma:contentTypeDescription="Create a new document." ma:contentTypeScope="" ma:versionID="2dad8da38e69b64d21c305678dae0be7">
  <xsd:schema xmlns:xsd="http://www.w3.org/2001/XMLSchema" xmlns:xs="http://www.w3.org/2001/XMLSchema" xmlns:p="http://schemas.microsoft.com/office/2006/metadata/properties" xmlns:ns2="6e0a9b9c-4ed8-4e9f-8162-c5b27aabdd60" targetNamespace="http://schemas.microsoft.com/office/2006/metadata/properties" ma:root="true" ma:fieldsID="be9a6167c0c2a6724675cfc81f59e3cf" ns2:_="">
    <xsd:import namespace="6e0a9b9c-4ed8-4e9f-8162-c5b27aabdd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0a9b9c-4ed8-4e9f-8162-c5b27aabdd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6154E7-A51F-4A14-BCBF-5616579110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310749-3EFE-4291-B98E-B2C89E47D4C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F821F9B-B1E0-40B8-A79F-B7E2377391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0a9b9c-4ed8-4e9f-8162-c5b27aabd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Report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2026-05-10T12:52:43Z</dcterms:created>
  <dcterms:modified xsi:type="dcterms:W3CDTF">2026-05-12T11:27:30Z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0x010100F86D39A355080C45AB74C82FF1E3E82A</vt:lpwstr>
  </property>
</Properties>
</file>